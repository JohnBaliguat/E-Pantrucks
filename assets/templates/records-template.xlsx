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<sst xmlns="http://schemas.openxmlformats.org/spreadsheetml/2006/main" count="132" uniqueCount="58">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</sst>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14"/>
  <sheetViews>
    <sheetView tabSelected="1" workbookViewId="0">
      <selection activeCell="B8" sqref="B8"/>
    </sheetView>
  </sheetViews>
  <sheetFormatPr defaultRowHeight="14.4" x14ac:dyDescent="0.3"/>
  <cols>
    <col min="18" max="18" width="13.6640625" bestFit="1" customWidth="1"/>
    <col min="37" max="38" width="14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4" spans="1:38" s="1" customFormat="1" ht="12" customHeight="1" x14ac:dyDescent="0.3">
      <c r="A4" s="19" t="s">
        <v>45</v>
      </c>
      <c r="B4" s="20" t="s">
        <v>46</v>
      </c>
      <c r="C4" s="21">
        <v>228794</v>
      </c>
      <c r="D4" s="22">
        <f>VLOOKUP([1]!transmittal[[#This Row],[Waybill]],[1]!Goodfarmer[#Data],2,FALSE)</f>
        <v>45297</v>
      </c>
      <c r="E4" s="23">
        <f>VLOOKUP([1]!transmittal[[#This Row],[Waybill]],[1]!Goodfarmer[#Data],2,FALSE)</f>
        <v>45297</v>
      </c>
      <c r="F4" s="24" t="s">
        <v>47</v>
      </c>
      <c r="G4" s="24" t="s">
        <v>47</v>
      </c>
      <c r="H4" s="24" t="s">
        <v>47</v>
      </c>
      <c r="I4" s="24" t="s">
        <v>48</v>
      </c>
      <c r="J4" s="24" t="s">
        <v>49</v>
      </c>
      <c r="K4" s="24"/>
      <c r="L4" s="24" t="s">
        <v>47</v>
      </c>
      <c r="M4" s="24">
        <f>VLOOKUP([1]!transmittal[[#This Row],[Waybill]],[1]!Goodfarmer[#Data],7,FALSE)</f>
        <v>0</v>
      </c>
      <c r="N4" s="24" t="s">
        <v>47</v>
      </c>
      <c r="O4" s="24">
        <f>VLOOKUP([1]!transmittal[[#This Row],[Waybill]],[1]!Goodfarmer[#Data],5,FALSE)</f>
        <v>119</v>
      </c>
      <c r="P4" s="24" t="str">
        <f>VLOOKUP([1]!transmittal[[#This Row],[Waybill]],[1]!Goodfarmer[#Data],23,FALSE)</f>
        <v>Guardaquiver, H.</v>
      </c>
      <c r="Q4" s="24" t="str">
        <f>[1]!transmittal[[#This Row],[PH]]</f>
        <v>N/A</v>
      </c>
      <c r="R4" s="25" t="s">
        <v>47</v>
      </c>
      <c r="S4" s="24">
        <f>[1]!transmittal[[#This Row],[Waybill]]</f>
        <v>228794</v>
      </c>
      <c r="T4" s="24" t="str">
        <f>VLOOKUP([1]!transmittal[[#This Row],[Waybill]],[1]!Goodfarmer[#Data],25,FALSE)</f>
        <v>3708 D</v>
      </c>
      <c r="U4" s="24">
        <f>VLOOKUP([1]!transmittal[[#This Row],[Waybill]],[1]!Goodfarmer[#Data],29,FALSE)</f>
        <v>40</v>
      </c>
      <c r="V4" s="24">
        <f>VLOOKUP([1]!transmittal[[#This Row],[Waybill]],[1]!Goodfarmer[#Data],5,FALSE)</f>
        <v>119</v>
      </c>
      <c r="W4" s="24" t="str">
        <f>VLOOKUP([1]!transmittal[[#This Row],[Waybill]],[1]!Goodfarmer[#Data],23,FALSE)</f>
        <v>Guardaquiver, H.</v>
      </c>
      <c r="X4" s="24" t="str">
        <f>VLOOKUP([1]!transmittal[[#This Row],[Waybill]],[1]!Goodfarmer[#Data],30,FALSE)</f>
        <v>DICT WHARF</v>
      </c>
      <c r="Y4" s="24">
        <v>1</v>
      </c>
      <c r="Z4" s="24" t="s">
        <v>47</v>
      </c>
      <c r="AA4" s="24">
        <f>VLOOKUP([1]!transmittal[[#This Row],[Waybill]],[1]!Goodfarmer[#Data],41,FALSE)</f>
        <v>44</v>
      </c>
      <c r="AB4" s="24" t="str">
        <f>VLOOKUP([1]!transmittal[[#This Row],[Waybill]],[1]!Goodfarmer[#Data],40,FALSE)</f>
        <v>BREAKBULK-4</v>
      </c>
      <c r="AC4" s="26"/>
      <c r="AD4" s="26"/>
      <c r="AE4" s="26"/>
      <c r="AF4" s="26"/>
      <c r="AG4" s="27"/>
      <c r="AH4" s="27"/>
      <c r="AI4" s="26"/>
      <c r="AJ4" s="26"/>
      <c r="AK4" s="28"/>
      <c r="AL4" s="28"/>
    </row>
    <row r="5" spans="1:38" s="32" customFormat="1" ht="16.5" customHeight="1" x14ac:dyDescent="0.3">
      <c r="A5" s="19" t="s">
        <v>50</v>
      </c>
      <c r="B5" s="20" t="s">
        <v>46</v>
      </c>
      <c r="C5" s="29">
        <v>269541</v>
      </c>
      <c r="D5" s="22" t="e">
        <f>VLOOKUP([1]!transmittal[[#This Row],[Waybill]],[1]!BBHM[#Data],2,FALSE)</f>
        <v>#N/A</v>
      </c>
      <c r="E5" s="23" t="e">
        <f>VLOOKUP([1]!transmittal[[#This Row],[Waybill]],[1]!BBHM[#Data],2,FALSE)</f>
        <v>#N/A</v>
      </c>
      <c r="F5" s="24" t="s">
        <v>47</v>
      </c>
      <c r="G5" s="24" t="s">
        <v>47</v>
      </c>
      <c r="H5" s="24" t="s">
        <v>47</v>
      </c>
      <c r="I5" s="24" t="e">
        <f>VLOOKUP([1]!transmittal[[#This Row],[Waybill]],[1]!BBHM[#Data],8,FALSE)</f>
        <v>#N/A</v>
      </c>
      <c r="J5" s="24" t="s">
        <v>49</v>
      </c>
      <c r="K5" s="24"/>
      <c r="L5" s="24" t="s">
        <v>47</v>
      </c>
      <c r="M5" s="24" t="e">
        <f>VLOOKUP([1]!transmittal[[#This Row],[Waybill]],[1]!BBHM[#Data],7,FALSE)</f>
        <v>#N/A</v>
      </c>
      <c r="N5" s="24" t="s">
        <v>47</v>
      </c>
      <c r="O5" s="24" t="e">
        <f>VLOOKUP([1]!transmittal[[#This Row],[Waybill]],[1]!BBHM[#Data],5,FALSE)</f>
        <v>#N/A</v>
      </c>
      <c r="P5" s="24" t="e">
        <f>VLOOKUP([1]!transmittal[[#This Row],[Waybill]],[1]!BBHM[#Data],23,FALSE)</f>
        <v>#N/A</v>
      </c>
      <c r="Q5" s="24" t="e">
        <f>[1]!transmittal[[#This Row],[PH]]</f>
        <v>#N/A</v>
      </c>
      <c r="R5" s="25" t="s">
        <v>47</v>
      </c>
      <c r="S5" s="24">
        <f>[1]!transmittal[[#This Row],[Waybill]]</f>
        <v>269541</v>
      </c>
      <c r="T5" s="24" t="e">
        <f>VLOOKUP([1]!transmittal[[#This Row],[Waybill]],[1]!BBHM[#Data],25,FALSE)</f>
        <v>#N/A</v>
      </c>
      <c r="U5" s="24" t="e">
        <f>VLOOKUP([1]!transmittal[[#This Row],[Waybill]],[1]!BBHM[#Data],29,FALSE)</f>
        <v>#N/A</v>
      </c>
      <c r="V5" s="24" t="e">
        <f>VLOOKUP([1]!transmittal[[#This Row],[Waybill]],[1]!BBHM[#Data],5,FALSE)</f>
        <v>#N/A</v>
      </c>
      <c r="W5" s="24" t="e">
        <f>VLOOKUP([1]!transmittal[[#This Row],[Waybill]],[1]!BBHM[#Data],23,FALSE)</f>
        <v>#N/A</v>
      </c>
      <c r="X5" s="24" t="e">
        <f>VLOOKUP([1]!transmittal[[#This Row],[Waybill]],[1]!BBHM[#Data],30,FALSE)</f>
        <v>#N/A</v>
      </c>
      <c r="Y5" s="24">
        <v>1</v>
      </c>
      <c r="Z5" s="24" t="s">
        <v>47</v>
      </c>
      <c r="AA5" s="24" t="e">
        <f>VLOOKUP([1]!transmittal[[#This Row],[Waybill]],[1]!BBHM[#Data],41,FALSE)</f>
        <v>#N/A</v>
      </c>
      <c r="AB5" s="24" t="e">
        <f>VLOOKUP([1]!transmittal[[#This Row],[Waybill]],[1]!BBHM[#Data],40,FALSE)</f>
        <v>#N/A</v>
      </c>
      <c r="AC5" s="24"/>
      <c r="AD5" s="24"/>
      <c r="AE5" s="24"/>
      <c r="AF5" s="24"/>
      <c r="AG5" s="30"/>
      <c r="AH5" s="30"/>
      <c r="AI5" s="24"/>
      <c r="AJ5" s="24"/>
      <c r="AK5" s="31"/>
      <c r="AL5" s="31"/>
    </row>
    <row r="6" spans="1:38" s="32" customFormat="1" ht="17.25" customHeight="1" x14ac:dyDescent="0.3">
      <c r="A6" s="19" t="s">
        <v>51</v>
      </c>
      <c r="B6" s="20" t="s">
        <v>46</v>
      </c>
      <c r="C6" s="33">
        <v>270385</v>
      </c>
      <c r="D6" s="22" t="e">
        <f>VLOOKUP([1]!transmittal[[#This Row],[Waybill]],[1]!RCVAN[#Data],34,FALSE)</f>
        <v>#N/A</v>
      </c>
      <c r="E6" s="23" t="e">
        <f>VLOOKUP([1]!transmittal[[#This Row],[Waybill]],[1]!RCVAN[#Data],64,FALSE)</f>
        <v>#N/A</v>
      </c>
      <c r="F6" s="24" t="e">
        <f>VLOOKUP([1]!transmittal[[#This Row],[Waybill]],[1]!RCVAN[#Data],10,FALSE)</f>
        <v>#N/A</v>
      </c>
      <c r="G6" s="24" t="e">
        <f>VLOOKUP([1]!transmittal[[#This Row],[Waybill]],[1]!RCVAN[#Data],11,FALSE)</f>
        <v>#N/A</v>
      </c>
      <c r="H6" s="24" t="e">
        <f>VLOOKUP([1]!transmittal[[#This Row],[Waybill]],[1]!RCVAN[#Data],12,FALSE)</f>
        <v>#N/A</v>
      </c>
      <c r="I6" s="24" t="e">
        <f>VLOOKUP([1]!transmittal[[#This Row],[Waybill]],[1]!RCVAN[#Data],13,FALSE)</f>
        <v>#N/A</v>
      </c>
      <c r="J6" s="24" t="e">
        <f>VLOOKUP([1]!transmittal[[#This Row],[Waybill]],[1]!RCVAN[#Data],14,FALSE)</f>
        <v>#N/A</v>
      </c>
      <c r="K6" s="24" t="e">
        <f>VLOOKUP([1]!transmittal[[#This Row],[Waybill]],[1]!RCVAN[#Data],19,FALSE)</f>
        <v>#N/A</v>
      </c>
      <c r="L6" s="24" t="e">
        <f>VLOOKUP([1]!transmittal[[#This Row],[Waybill]],[1]!RCVAN[#Data],16,FALSE)</f>
        <v>#N/A</v>
      </c>
      <c r="M6" s="24" t="e">
        <f>VLOOKUP([1]!transmittal[[#This Row],[Waybill]],[1]!RCVAN[#Data],17,FALSE)</f>
        <v>#N/A</v>
      </c>
      <c r="N6" s="24" t="e">
        <f>VLOOKUP([1]!transmittal[[#This Row],[Waybill]],[1]!RCVAN[#Data],18,FALSE)</f>
        <v>#N/A</v>
      </c>
      <c r="O6" s="24" t="e">
        <f>VLOOKUP([1]!transmittal[[#This Row],[Waybill]],[1]!RCVAN[#Data],20,FALSE)</f>
        <v>#N/A</v>
      </c>
      <c r="P6" s="24" t="e">
        <f>VLOOKUP([1]!transmittal[[#This Row],[Waybill]],[1]!RCVAN[#Data],21,FALSE)</f>
        <v>#N/A</v>
      </c>
      <c r="Q6" s="24" t="e">
        <f>VLOOKUP([1]!transmittal[[#This Row],[Waybill]],[1]!RCVAN[#Data],22,FALSE)</f>
        <v>#N/A</v>
      </c>
      <c r="R6" s="34" t="e">
        <f>VLOOKUP([1]!transmittal[[#This Row],[Waybill]],[1]!RCVAN[#Data],69,FALSE)</f>
        <v>#N/A</v>
      </c>
      <c r="S6" s="24">
        <f>[1]!transmittal[[#This Row],[Waybill]]</f>
        <v>270385</v>
      </c>
      <c r="T6" s="24" t="e">
        <f>VLOOKUP([1]!transmittal[[#This Row],[Waybill]],[1]!RCVAN[#Data],39,FALSE)</f>
        <v>#N/A</v>
      </c>
      <c r="U6" s="24" t="e">
        <f>VLOOKUP([1]!transmittal[[#This Row],[Waybill]],[1]!RCVAN[#Data],40,FALSE)</f>
        <v>#N/A</v>
      </c>
      <c r="V6" s="24" t="e">
        <f>VLOOKUP([1]!transmittal[[#This Row],[Waybill]],[1]!RCVAN[#Data],41,FALSE)</f>
        <v>#N/A</v>
      </c>
      <c r="W6" s="24" t="e">
        <f>VLOOKUP([1]!transmittal[[#This Row],[Waybill]],[1]!RCVAN[#Data],42,FALSE)</f>
        <v>#N/A</v>
      </c>
      <c r="X6" s="24" t="e">
        <f>VLOOKUP([1]!transmittal[[#This Row],[Waybill]],[1]!RCVAN[#Data],43,FALSE)</f>
        <v>#N/A</v>
      </c>
      <c r="Y6" s="24">
        <v>1</v>
      </c>
      <c r="Z6" s="24" t="e">
        <f>VLOOKUP([1]!transmittal[[#This Row],[Waybill]],[1]!RCVAN[#Data],44,FALSE)</f>
        <v>#N/A</v>
      </c>
      <c r="AA6" s="24" t="e">
        <f>VLOOKUP([1]!transmittal[[#This Row],[Waybill]],[1]!RCVAN[#Data],86,FALSE)</f>
        <v>#N/A</v>
      </c>
      <c r="AB6" s="24" t="e">
        <f>VLOOKUP([1]!transmittal[[#This Row],[Waybill]],[1]!RCVAN[#Data],85,FALSE)</f>
        <v>#N/A</v>
      </c>
      <c r="AC6" s="24"/>
      <c r="AD6" s="24"/>
      <c r="AE6" s="24"/>
      <c r="AF6" s="24"/>
      <c r="AG6" s="30"/>
      <c r="AH6" s="30"/>
      <c r="AI6" s="24" t="e">
        <f>VLOOKUP([1]!transmittal[[#This Row],[Waybill]],[1]!RCVAN[#Data],45,FALSE)</f>
        <v>#N/A</v>
      </c>
      <c r="AJ6" s="24" t="e">
        <f>VLOOKUP([1]!transmittal[[#This Row],[Waybill]],[1]!RCVAN[#Data],46,FALSE)</f>
        <v>#N/A</v>
      </c>
      <c r="AK6" s="31" t="e">
        <f>VLOOKUP([1]!transmittal[[#This Row],[Waybill]],[1]!RCVAN[#Data],72,FALSE)</f>
        <v>#N/A</v>
      </c>
      <c r="AL6" s="31" t="e">
        <f>VLOOKUP([1]!transmittal[[#This Row],[Waybill]],[1]!RCVAN[#Data],73,FALSE)</f>
        <v>#N/A</v>
      </c>
    </row>
    <row r="7" spans="1:38" s="32" customFormat="1" ht="17.25" customHeight="1" x14ac:dyDescent="0.3">
      <c r="A7" s="19" t="s">
        <v>52</v>
      </c>
      <c r="B7" s="20" t="s">
        <v>46</v>
      </c>
      <c r="C7" s="29">
        <v>252969</v>
      </c>
      <c r="D7" s="22" t="e">
        <f>VLOOKUP([1]!transmittal[[#This Row],[Waybill]],[1]!DPC_KDs[#Data],2,FALSE)</f>
        <v>#N/A</v>
      </c>
      <c r="E7" s="23" t="e">
        <f>VLOOKUP([1]!transmittal[[#This Row],[Waybill]],[1]!DPC_KDs[#Data],2,FALSE)</f>
        <v>#N/A</v>
      </c>
      <c r="F7" s="24" t="s">
        <v>47</v>
      </c>
      <c r="G7" s="24" t="s">
        <v>47</v>
      </c>
      <c r="H7" s="24" t="s">
        <v>47</v>
      </c>
      <c r="I7" s="35" t="e">
        <f>VLOOKUP([1]!transmittal[[#This Row],[Waybill]],[1]!DPC_KDs[#Data],10,FALSE)</f>
        <v>#N/A</v>
      </c>
      <c r="J7" s="24" t="s">
        <v>53</v>
      </c>
      <c r="K7" s="24"/>
      <c r="L7" s="24" t="s">
        <v>47</v>
      </c>
      <c r="M7" s="35" t="e">
        <f>VLOOKUP([1]!transmittal[[#This Row],[Waybill]],[1]!DPC_KDs[#Data],9,FALSE)</f>
        <v>#N/A</v>
      </c>
      <c r="N7" s="24" t="s">
        <v>47</v>
      </c>
      <c r="O7" s="35" t="e">
        <f>VLOOKUP([1]!transmittal[[#This Row],[Waybill]],[1]!DPC_KDs[#Data],8,FALSE)</f>
        <v>#N/A</v>
      </c>
      <c r="P7" s="35" t="e">
        <f>VLOOKUP([1]!transmittal[[#This Row],[Waybill]],[1]!DPC_KDs[#Data],5,FALSE)</f>
        <v>#N/A</v>
      </c>
      <c r="Q7" s="24" t="s">
        <v>53</v>
      </c>
      <c r="R7" s="25" t="s">
        <v>47</v>
      </c>
      <c r="S7" s="24">
        <f>[1]!transmittal[[#This Row],[Waybill]]</f>
        <v>252969</v>
      </c>
      <c r="T7" s="35" t="e">
        <f>VLOOKUP([1]!transmittal[[#This Row],[Waybill]],[1]!DPC_KDs[#Data],21,FALSE)</f>
        <v>#N/A</v>
      </c>
      <c r="U7" s="35" t="e">
        <f>VLOOKUP([1]!transmittal[[#This Row],[Waybill]],[1]!DPC_KDs[#Data],19,FALSE)</f>
        <v>#N/A</v>
      </c>
      <c r="V7" s="24" t="e">
        <f>[1]!transmittal[[#This Row],[PM]]</f>
        <v>#N/A</v>
      </c>
      <c r="W7" s="24" t="e">
        <f>[1]!transmittal[[#This Row],[Driver]]</f>
        <v>#N/A</v>
      </c>
      <c r="X7" s="24" t="e">
        <f>[1]!transmittal[[#This Row],[PH]]</f>
        <v>#N/A</v>
      </c>
      <c r="Y7" s="24">
        <v>1</v>
      </c>
      <c r="Z7" s="35" t="e">
        <f>VLOOKUP([1]!transmittal[[#This Row],[Waybill]],[1]!DPC_KDs[#Data],20,FALSE)</f>
        <v>#N/A</v>
      </c>
      <c r="AA7" s="24" t="e">
        <f>VLOOKUP([1]!transmittal[[#This Row],[Waybill]],[1]!DPC_KDs[#Data],22,FALSE)</f>
        <v>#N/A</v>
      </c>
      <c r="AB7" s="24" t="e">
        <f>VLOOKUP([1]!transmittal[[#This Row],[Waybill]],[1]!DPC_KDs[#Data],29,FALSE)</f>
        <v>#N/A</v>
      </c>
      <c r="AC7" s="24"/>
      <c r="AD7" s="24"/>
      <c r="AE7" s="24"/>
      <c r="AF7" s="24"/>
      <c r="AG7" s="30"/>
      <c r="AH7" s="30"/>
      <c r="AI7" s="24"/>
      <c r="AJ7" s="24"/>
      <c r="AK7" s="31"/>
      <c r="AL7" s="31"/>
    </row>
    <row r="8" spans="1:38" s="32" customFormat="1" ht="17.25" customHeight="1" x14ac:dyDescent="0.3">
      <c r="A8" s="19" t="s">
        <v>54</v>
      </c>
      <c r="B8" s="20" t="s">
        <v>46</v>
      </c>
      <c r="C8" s="29">
        <v>252967</v>
      </c>
      <c r="D8" s="22" t="e">
        <f>VLOOKUP([1]!transmittal[[#This Row],[Waybill]],[1]!Labor_Haul[#Data],2,FALSE)</f>
        <v>#N/A</v>
      </c>
      <c r="E8" s="23" t="e">
        <f>VLOOKUP([1]!transmittal[[#This Row],[Waybill]],[1]!Labor_Haul[#Data],2,FALSE)</f>
        <v>#N/A</v>
      </c>
      <c r="F8" s="24" t="s">
        <v>47</v>
      </c>
      <c r="G8" s="24" t="s">
        <v>47</v>
      </c>
      <c r="H8" s="24" t="s">
        <v>47</v>
      </c>
      <c r="I8" s="35" t="e">
        <f>VLOOKUP([1]!transmittal[[#This Row],[Waybill]],[1]!Labor_Haul[#Data],6,FALSE)</f>
        <v>#N/A</v>
      </c>
      <c r="J8" s="24" t="e">
        <f>[1]!transmittal[[#This Row],[PH]]</f>
        <v>#N/A</v>
      </c>
      <c r="K8" s="24"/>
      <c r="L8" s="24" t="s">
        <v>47</v>
      </c>
      <c r="M8" s="24" t="s">
        <v>47</v>
      </c>
      <c r="N8" s="24" t="s">
        <v>47</v>
      </c>
      <c r="O8" s="35" t="e">
        <f>VLOOKUP([1]!transmittal[[#This Row],[Waybill]],[1]!Labor_Haul[#Data],4,FALSE)</f>
        <v>#N/A</v>
      </c>
      <c r="P8" s="35" t="e">
        <f>VLOOKUP([1]!transmittal[[#This Row],[Waybill]],[1]!Labor_Haul[#Data],5,FALSE)</f>
        <v>#N/A</v>
      </c>
      <c r="Q8" s="24" t="e">
        <f>VLOOKUP([1]!transmittal[[#This Row],[Waybill]],[1]!Labor_Haul[#Data],11,FALSE)</f>
        <v>#N/A</v>
      </c>
      <c r="R8" s="25" t="s">
        <v>47</v>
      </c>
      <c r="S8" s="24">
        <f>[1]!transmittal[[#This Row],[Waybill]]</f>
        <v>252967</v>
      </c>
      <c r="T8" s="24" t="s">
        <v>47</v>
      </c>
      <c r="U8" s="35" t="s">
        <v>47</v>
      </c>
      <c r="V8" s="24" t="e">
        <f>[1]!transmittal[[#This Row],[PM]]</f>
        <v>#N/A</v>
      </c>
      <c r="W8" s="24" t="e">
        <f>[1]!transmittal[[#This Row],[Driver]]</f>
        <v>#N/A</v>
      </c>
      <c r="X8" s="35" t="e">
        <f>VLOOKUP([1]!transmittal[[#This Row],[Waybill]],[1]!Labor_Haul[#Data],12,FALSE)</f>
        <v>#N/A</v>
      </c>
      <c r="Y8" s="35" t="e">
        <f>VLOOKUP([1]!transmittal[[#This Row],[Waybill]],[1]!Labor_Haul[#Data],9,FALSE)</f>
        <v>#N/A</v>
      </c>
      <c r="Z8" s="35" t="e">
        <f>VLOOKUP([1]!transmittal[[#This Row],[Waybill]],[1]!Labor_Haul[#Data],13,FALSE)</f>
        <v>#N/A</v>
      </c>
      <c r="AA8" s="24" t="e">
        <f>VLOOKUP([1]!transmittal[[#This Row],[Waybill]],[1]!Labor_Haul[#Data],14,FALSE)</f>
        <v>#N/A</v>
      </c>
      <c r="AB8" s="24" t="s">
        <v>55</v>
      </c>
      <c r="AC8" s="24"/>
      <c r="AD8" s="24"/>
      <c r="AE8" s="24"/>
      <c r="AF8" s="24"/>
      <c r="AG8" s="30"/>
      <c r="AH8" s="30"/>
      <c r="AI8" s="24"/>
      <c r="AJ8" s="24"/>
      <c r="AK8" s="31"/>
      <c r="AL8" s="31"/>
    </row>
    <row r="9" spans="1:38" s="32" customFormat="1" ht="17.25" customHeight="1" x14ac:dyDescent="0.3">
      <c r="A9" s="19" t="s">
        <v>56</v>
      </c>
      <c r="B9" s="20" t="s">
        <v>46</v>
      </c>
      <c r="C9" s="29">
        <v>264291</v>
      </c>
      <c r="D9" s="22" t="e">
        <f>VLOOKUP([1]!transmittal[[#This Row],[Waybill]],[1]!Others[#Data],2,FALSE)</f>
        <v>#N/A</v>
      </c>
      <c r="E9" s="23" t="e">
        <f>VLOOKUP([1]!transmittal[[#This Row],[Waybill]],[1]!Others[#Data],2,FALSE)</f>
        <v>#N/A</v>
      </c>
      <c r="F9" s="24" t="s">
        <v>47</v>
      </c>
      <c r="G9" s="24" t="s">
        <v>47</v>
      </c>
      <c r="H9" s="24" t="s">
        <v>47</v>
      </c>
      <c r="I9" s="35" t="e">
        <f>VLOOKUP([1]!transmittal[[#This Row],[Waybill]],[1]!Others[#Data],8,FALSE)</f>
        <v>#N/A</v>
      </c>
      <c r="J9" s="24" t="e">
        <f>[1]!transmittal[[#This Row],[PH]]</f>
        <v>#N/A</v>
      </c>
      <c r="K9" s="24"/>
      <c r="L9" s="24" t="s">
        <v>47</v>
      </c>
      <c r="M9" s="35" t="e">
        <f>VLOOKUP([1]!transmittal[[#This Row],[Waybill]],[1]!Others[#Data],5,FALSE)</f>
        <v>#N/A</v>
      </c>
      <c r="N9" s="35" t="s">
        <v>47</v>
      </c>
      <c r="O9" s="35" t="e">
        <f>VLOOKUP([1]!transmittal[[#This Row],[Waybill]],[1]!Others[#Data],4,FALSE)</f>
        <v>#N/A</v>
      </c>
      <c r="P9" s="24" t="e">
        <f>VLOOKUP([1]!transmittal[[#This Row],[Waybill]],[1]!Others[#Data],6,FALSE)</f>
        <v>#N/A</v>
      </c>
      <c r="Q9" s="24" t="e">
        <f>VLOOKUP([1]!transmittal[[#This Row],[Waybill]],[1]!Others[#Data],11,FALSE)</f>
        <v>#N/A</v>
      </c>
      <c r="R9" s="25" t="s">
        <v>47</v>
      </c>
      <c r="S9" s="24">
        <f>[1]!transmittal[[#This Row],[Waybill]]</f>
        <v>264291</v>
      </c>
      <c r="T9" s="24" t="s">
        <v>47</v>
      </c>
      <c r="U9" s="24" t="s">
        <v>47</v>
      </c>
      <c r="V9" s="24" t="e">
        <f>[1]!transmittal[[#This Row],[PM]]</f>
        <v>#N/A</v>
      </c>
      <c r="W9" s="24" t="e">
        <f>[1]!transmittal[[#This Row],[Driver]]</f>
        <v>#N/A</v>
      </c>
      <c r="X9" s="24" t="e">
        <f>VLOOKUP([1]!transmittal[[#This Row],[Waybill]],[1]!Others[#Data],12,FALSE)</f>
        <v>#N/A</v>
      </c>
      <c r="Y9" s="24" t="e">
        <f>VLOOKUP([1]!transmittal[[#This Row],[Waybill]],[1]!Others[#Data],9,FALSE)</f>
        <v>#N/A</v>
      </c>
      <c r="Z9" s="24" t="e">
        <f>VLOOKUP([1]!transmittal[[#This Row],[Waybill]],[1]!Others[#Data],13,FALSE)</f>
        <v>#N/A</v>
      </c>
      <c r="AA9" s="24" t="e">
        <f>VLOOKUP([1]!transmittal[[#This Row],[Waybill]],[1]!Others[#Data],17,FALSE)</f>
        <v>#N/A</v>
      </c>
      <c r="AB9" s="24" t="e">
        <f>VLOOKUP([1]!transmittal[[#This Row],[Waybill]],[1]!Others[#Data],18,FALSE)</f>
        <v>#N/A</v>
      </c>
      <c r="AC9" s="24"/>
      <c r="AD9" s="24"/>
      <c r="AE9" s="24"/>
      <c r="AF9" s="24"/>
      <c r="AG9" s="30"/>
      <c r="AH9" s="30"/>
      <c r="AI9" s="24"/>
      <c r="AJ9" s="24"/>
      <c r="AK9" s="31"/>
      <c r="AL9" s="31"/>
    </row>
    <row r="10" spans="1:38" s="1" customFormat="1" ht="4.5" customHeight="1" x14ac:dyDescent="0.3">
      <c r="B10" s="20"/>
      <c r="C10" s="21"/>
      <c r="D10" s="36"/>
      <c r="E10" s="37"/>
      <c r="F10" s="26"/>
      <c r="G10" s="26"/>
      <c r="H10" s="26"/>
      <c r="I10" s="26"/>
      <c r="J10" s="26"/>
      <c r="K10" s="26">
        <f>VLOOKUP([1]!transmittal[[#This Row],[Waybill]],[1]!RCVAN[#Data],19,FALSE)</f>
        <v>0</v>
      </c>
      <c r="L10" s="26"/>
      <c r="M10" s="26"/>
      <c r="N10" s="26"/>
      <c r="O10" s="26"/>
      <c r="P10" s="26"/>
      <c r="Q10" s="26"/>
      <c r="R10" s="38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7"/>
      <c r="AH10" s="27"/>
      <c r="AI10" s="26"/>
      <c r="AJ10" s="26"/>
      <c r="AK10" s="28"/>
      <c r="AL10" s="28"/>
    </row>
    <row r="11" spans="1:38" s="1" customFormat="1" ht="13.8" x14ac:dyDescent="0.3">
      <c r="B11" s="20" t="s">
        <v>57</v>
      </c>
      <c r="C11" s="21" t="s">
        <v>57</v>
      </c>
      <c r="D11" s="39"/>
      <c r="E11" s="26" t="s">
        <v>57</v>
      </c>
      <c r="F11" s="26" t="s">
        <v>57</v>
      </c>
      <c r="G11" s="26" t="s">
        <v>57</v>
      </c>
      <c r="H11" s="26" t="s">
        <v>57</v>
      </c>
      <c r="I11" s="26" t="s">
        <v>57</v>
      </c>
      <c r="J11" s="26" t="s">
        <v>57</v>
      </c>
      <c r="K11" s="26" t="e">
        <f>VLOOKUP([1]!transmittal[[#This Row],[Waybill]],[1]!RCVAN[#Data],19,FALSE)</f>
        <v>#N/A</v>
      </c>
      <c r="L11" s="26" t="s">
        <v>57</v>
      </c>
      <c r="M11" s="26" t="s">
        <v>57</v>
      </c>
      <c r="N11" s="26" t="s">
        <v>57</v>
      </c>
      <c r="O11" s="26" t="s">
        <v>57</v>
      </c>
      <c r="P11" s="26" t="s">
        <v>57</v>
      </c>
      <c r="Q11" s="26" t="s">
        <v>57</v>
      </c>
      <c r="R11" s="26" t="s">
        <v>57</v>
      </c>
      <c r="S11" s="26" t="s">
        <v>57</v>
      </c>
      <c r="T11" s="26" t="s">
        <v>57</v>
      </c>
      <c r="U11" s="26" t="s">
        <v>57</v>
      </c>
      <c r="V11" s="26" t="s">
        <v>57</v>
      </c>
      <c r="W11" s="26" t="s">
        <v>57</v>
      </c>
      <c r="X11" s="26" t="s">
        <v>57</v>
      </c>
      <c r="Y11" s="26" t="s">
        <v>57</v>
      </c>
      <c r="Z11" s="26" t="s">
        <v>57</v>
      </c>
      <c r="AA11" s="26" t="s">
        <v>57</v>
      </c>
      <c r="AB11" s="26" t="s">
        <v>57</v>
      </c>
      <c r="AC11" s="26"/>
      <c r="AD11" s="26"/>
      <c r="AE11" s="26"/>
      <c r="AF11" s="26"/>
      <c r="AG11" s="26" t="s">
        <v>57</v>
      </c>
      <c r="AH11" s="26" t="s">
        <v>57</v>
      </c>
      <c r="AI11" s="26" t="s">
        <v>57</v>
      </c>
      <c r="AJ11" s="26" t="s">
        <v>57</v>
      </c>
      <c r="AK11" s="26" t="s">
        <v>57</v>
      </c>
      <c r="AL11" s="26" t="s">
        <v>57</v>
      </c>
    </row>
    <row r="12" spans="1:38" s="1" customFormat="1" ht="5.25" customHeight="1" x14ac:dyDescent="0.3">
      <c r="B12" s="20"/>
      <c r="C12" s="21"/>
      <c r="D12" s="36"/>
      <c r="E12" s="37"/>
      <c r="F12" s="26"/>
      <c r="G12" s="26"/>
      <c r="H12" s="26"/>
      <c r="I12" s="26"/>
      <c r="J12" s="26"/>
      <c r="K12" s="26">
        <f>VLOOKUP([1]!transmittal[[#This Row],[Waybill]],[1]!RCVAN[#Data],19,FALSE)</f>
        <v>0</v>
      </c>
      <c r="L12" s="26"/>
      <c r="M12" s="26"/>
      <c r="N12" s="26"/>
      <c r="O12" s="26"/>
      <c r="P12" s="26"/>
      <c r="Q12" s="26"/>
      <c r="R12" s="38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 t="e">
        <f>VLOOKUP([1]!transmittal[[#This Row],[Waybill]],#REF!,18,FALSE)</f>
        <v>#REF!</v>
      </c>
      <c r="AD12" s="26"/>
      <c r="AE12" s="26"/>
      <c r="AF12" s="26"/>
      <c r="AG12" s="27"/>
      <c r="AH12" s="27"/>
      <c r="AI12" s="26"/>
      <c r="AJ12" s="26"/>
      <c r="AK12" s="28"/>
      <c r="AL12" s="28"/>
    </row>
    <row r="13" spans="1:38" s="1" customFormat="1" ht="15.75" customHeight="1" x14ac:dyDescent="0.3">
      <c r="B13" s="20"/>
      <c r="C13" s="21"/>
      <c r="D13" s="22"/>
      <c r="E13" s="23"/>
      <c r="F13" s="24"/>
      <c r="G13" s="24"/>
      <c r="H13" s="24"/>
      <c r="I13" s="24"/>
      <c r="J13" s="24"/>
      <c r="K13" s="24">
        <f>VLOOKUP([1]!transmittal[[#This Row],[Waybill]],[1]!RCVAN[#Data],19,FALSE)</f>
        <v>0</v>
      </c>
      <c r="L13" s="24"/>
      <c r="M13" s="24"/>
      <c r="N13" s="24"/>
      <c r="O13" s="24"/>
      <c r="P13" s="24"/>
      <c r="Q13" s="24"/>
      <c r="R13" s="25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 t="e">
        <f>VLOOKUP([1]!transmittal[[#This Row],[Waybill]],#REF!,18,FALSE)</f>
        <v>#REF!</v>
      </c>
      <c r="AD13" s="24"/>
      <c r="AE13" s="24"/>
      <c r="AF13" s="24"/>
      <c r="AG13" s="27"/>
      <c r="AH13" s="27"/>
      <c r="AI13" s="26"/>
      <c r="AJ13" s="26"/>
      <c r="AK13" s="28"/>
      <c r="AL13" s="28"/>
    </row>
    <row r="14" spans="1:38" s="32" customFormat="1" ht="17.25" customHeight="1" x14ac:dyDescent="0.3">
      <c r="A14" s="32" t="s">
        <v>51</v>
      </c>
      <c r="B14" s="40">
        <v>46097</v>
      </c>
      <c r="C14" s="41">
        <v>404919</v>
      </c>
      <c r="D14" s="22">
        <f>VLOOKUP([1]!transmittal[[#This Row],[Waybill]],[1]!RCVAN[#Data],34,FALSE)</f>
        <v>46094</v>
      </c>
      <c r="E14" s="23">
        <f>VLOOKUP([1]!transmittal[[#This Row],[Waybill]],[1]!RCVAN[#Data],64,FALSE)</f>
        <v>46092.253472222219</v>
      </c>
      <c r="F14" s="24" t="str">
        <f>VLOOKUP([1]!transmittal[[#This Row],[Waybill]],[1]!RCVAN[#Data],10,FALSE)</f>
        <v>MNBU</v>
      </c>
      <c r="G14" s="24" t="str">
        <f>VLOOKUP([1]!transmittal[[#This Row],[Waybill]],[1]!RCVAN[#Data],11,FALSE)</f>
        <v>374285-6</v>
      </c>
      <c r="H14" s="24" t="str">
        <f>VLOOKUP([1]!transmittal[[#This Row],[Waybill]],[1]!RCVAN[#Data],12,FALSE)</f>
        <v>MAERSK</v>
      </c>
      <c r="I14" s="24">
        <f>VLOOKUP([1]!transmittal[[#This Row],[Waybill]],[1]!RCVAN[#Data],13,FALSE)</f>
        <v>4</v>
      </c>
      <c r="J14" s="24" t="str">
        <f>VLOOKUP([1]!transmittal[[#This Row],[Waybill]],[1]!RCVAN[#Data],14,FALSE)</f>
        <v>DOLE</v>
      </c>
      <c r="K14" s="24">
        <f>VLOOKUP([1]!transmittal[[#This Row],[Waybill]],[1]!RCVAN[#Data],19,FALSE)</f>
        <v>404539</v>
      </c>
      <c r="L14" s="24">
        <f>VLOOKUP([1]!transmittal[[#This Row],[Waybill]],[1]!RCVAN[#Data],16,FALSE)</f>
        <v>221734</v>
      </c>
      <c r="M14" s="24">
        <f>VLOOKUP([1]!transmittal[[#This Row],[Waybill]],[1]!RCVAN[#Data],17,FALSE)</f>
        <v>630</v>
      </c>
      <c r="N14" s="24">
        <f>VLOOKUP([1]!transmittal[[#This Row],[Waybill]],[1]!RCVAN[#Data],18,FALSE)</f>
        <v>605</v>
      </c>
      <c r="O14" s="24">
        <f>VLOOKUP([1]!transmittal[[#This Row],[Waybill]],[1]!RCVAN[#Data],20,FALSE)</f>
        <v>853</v>
      </c>
      <c r="P14" s="24" t="str">
        <f>VLOOKUP([1]!transmittal[[#This Row],[Waybill]],[1]!RCVAN[#Data],21,FALSE)</f>
        <v>SALLY, A.</v>
      </c>
      <c r="Q14" s="24" t="str">
        <f>VLOOKUP([1]!transmittal[[#This Row],[Waybill]],[1]!RCVAN[#Data],22,FALSE)</f>
        <v>CY/DOLE</v>
      </c>
      <c r="R14" s="34">
        <f>VLOOKUP([1]!transmittal[[#This Row],[Waybill]],[1]!RCVAN[#Data],69,FALSE)</f>
        <v>46094.736111111109</v>
      </c>
      <c r="S14" s="24">
        <f>[1]!transmittal[[#This Row],[Waybill]]</f>
        <v>404919</v>
      </c>
      <c r="T14" s="24">
        <f>VLOOKUP([1]!transmittal[[#This Row],[Waybill]],[1]!RCVAN[#Data],39,FALSE)</f>
        <v>345</v>
      </c>
      <c r="U14" s="24">
        <f>VLOOKUP([1]!transmittal[[#This Row],[Waybill]],[1]!RCVAN[#Data],40,FALSE)</f>
        <v>1320</v>
      </c>
      <c r="V14" s="24">
        <f>VLOOKUP([1]!transmittal[[#This Row],[Waybill]],[1]!RCVAN[#Data],41,FALSE)</f>
        <v>853</v>
      </c>
      <c r="W14" s="24" t="str">
        <f>VLOOKUP([1]!transmittal[[#This Row],[Waybill]],[1]!RCVAN[#Data],42,FALSE)</f>
        <v>SALLY, A.</v>
      </c>
      <c r="X14" s="24" t="str">
        <f>VLOOKUP([1]!transmittal[[#This Row],[Waybill]],[1]!RCVAN[#Data],43,FALSE)</f>
        <v>PW/DOLE</v>
      </c>
      <c r="Y14" s="24">
        <v>1</v>
      </c>
      <c r="Z14" s="24" t="str">
        <f>VLOOKUP([1]!transmittal[[#This Row],[Waybill]],[1]!RCVAN[#Data],44,FALSE)</f>
        <v>DR/DTR-819809/LMR/IFLEET</v>
      </c>
      <c r="AA14" s="24">
        <f>VLOOKUP([1]!transmittal[[#This Row],[Waybill]],[1]!RCVAN[#Data],86,FALSE)</f>
        <v>106.80000000000001</v>
      </c>
      <c r="AB14" s="24" t="str">
        <f>VLOOKUP([1]!transmittal[[#This Row],[Waybill]],[1]!RCVAN[#Data],85,FALSE)</f>
        <v>DOLE-4-PNB-PNB</v>
      </c>
      <c r="AC14" s="24"/>
      <c r="AD14" s="24"/>
      <c r="AE14" s="24"/>
      <c r="AF14" s="24"/>
      <c r="AG14" s="30"/>
      <c r="AH14" s="30"/>
      <c r="AI14" s="24">
        <f>VLOOKUP([1]!transmittal[[#This Row],[Waybill]],[1]!RCVAN[#Data],45,FALSE)</f>
        <v>9039.1</v>
      </c>
      <c r="AJ14" s="24">
        <f>VLOOKUP([1]!transmittal[[#This Row],[Waybill]],[1]!RCVAN[#Data],46,FALSE)</f>
        <v>9041.4</v>
      </c>
      <c r="AK14" s="31">
        <f>VLOOKUP([1]!transmittal[[#This Row],[Waybill]],[1]!RCVAN[#Data],72,FALSE)</f>
        <v>46094.894444444442</v>
      </c>
      <c r="AL14" s="31">
        <f>VLOOKUP([1]!transmittal[[#This Row],[Waybill]],[1]!RCVAN[#Data],73,FALSE)</f>
        <v>46094.645833333336</v>
      </c>
    </row>
  </sheetData>
  <mergeCells count="7">
    <mergeCell ref="D1:D2"/>
    <mergeCell ref="E1:AL1"/>
    <mergeCell ref="E2:Q2"/>
    <mergeCell ref="R2:Z2"/>
    <mergeCell ref="AG2:AH2"/>
    <mergeCell ref="AI2:AJ2"/>
    <mergeCell ref="AK2:AL2"/>
  </mergeCells>
  <conditionalFormatting sqref="C1:C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